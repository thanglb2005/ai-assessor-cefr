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name="Thắng" sheetId="1" state="visible" r:id="rId1"/>
    <sheet name="Nguyên" sheetId="2" state="visible" r:id="rId2"/>
    <sheet name="Sang" sheetId="3" state="visible" r:id="rId3"/>
    <sheet name="Tổng hợp" sheetId="4" state="visible" r:id="rId4"/>
  </sheets>
  <definedNames/>
  <calcPr calcId="152511" calcMode="auto" fullCalcOnLoad="1" forceFullCalc="1"/>
</workbook>
</file>

<file path=xl/styles.xml><?xml version="1.0" encoding="utf-8"?>
<styleSheet xmlns="http://schemas.openxmlformats.org/spreadsheetml/2006/main">
  <numFmts count="1">
    <numFmt numFmtId="164" formatCode="dd/mm/yyyy"/>
  </numFmts>
  <fonts count="11">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00595959"/>
      <sz val="10"/>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tabSelected="1" workbookViewId="0">
      <pane xSplit="12" topLeftCell="M1" activePane="topRight" state="frozen"/>
      <selection pane="topRight" activeCell="A6" sqref="A6:F10"/>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01</t>
        </is>
      </c>
      <c r="F2" s="8" t="n"/>
    </row>
    <row r="3" ht="19.5" customHeight="1" s="24">
      <c r="A3" s="12" t="n"/>
      <c r="B3" s="7" t="n"/>
      <c r="C3" s="7" t="n"/>
      <c r="D3" s="8" t="n"/>
      <c r="E3" s="30" t="inlineStr">
        <is>
          <t>14/09/2026 – 20/09/2026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0" t="n"/>
      <c r="B6" s="18" t="n"/>
      <c r="C6" s="18" t="n"/>
      <c r="D6" s="19" t="n"/>
      <c r="E6" s="19" t="n"/>
      <c r="F6" s="19" t="n"/>
    </row>
    <row r="7" ht="36" customHeight="1" s="24">
      <c r="A7" s="20" t="n"/>
      <c r="B7" s="18" t="n"/>
      <c r="C7" s="18" t="n"/>
      <c r="D7" s="19" t="n"/>
      <c r="E7" s="19" t="n"/>
      <c r="F7" s="19" t="n"/>
    </row>
    <row r="8" ht="36" customHeight="1" s="24">
      <c r="A8" s="20" t="n"/>
      <c r="B8" s="18" t="n"/>
      <c r="C8" s="18" t="n"/>
      <c r="D8" s="19" t="n"/>
      <c r="E8" s="19" t="n"/>
      <c r="F8" s="19" t="n"/>
    </row>
    <row r="9" ht="36" customHeight="1" s="24">
      <c r="A9" s="20" t="n"/>
      <c r="B9" s="18" t="n"/>
      <c r="C9" s="18" t="n"/>
      <c r="D9" s="19" t="n"/>
      <c r="E9" s="19" t="n"/>
      <c r="F9" s="19" t="n"/>
    </row>
    <row r="10" ht="36" customHeight="1" s="24">
      <c r="A10" s="29" t="n"/>
      <c r="B10" s="18" t="n"/>
      <c r="C10" s="18" t="n"/>
      <c r="D10" s="19" t="n"/>
      <c r="E10" s="19" t="n"/>
      <c r="F10" s="19" t="n"/>
    </row>
    <row r="11" ht="36" customHeight="1" s="24">
      <c r="A11" s="29" t="n"/>
      <c r="B11" s="18" t="n"/>
      <c r="C11" s="18" t="n"/>
      <c r="D11" s="19" t="n"/>
      <c r="E11" s="19" t="n"/>
      <c r="F11" s="19" t="n"/>
    </row>
    <row r="12" ht="36" customHeight="1" s="24">
      <c r="A12" s="29" t="n"/>
      <c r="B12" s="18" t="n"/>
      <c r="C12" s="18" t="n"/>
      <c r="D12" s="19" t="n"/>
      <c r="E12" s="19" t="n"/>
      <c r="F12" s="19" t="n"/>
    </row>
    <row r="13" ht="36" customHeight="1" s="24">
      <c r="A13" s="29" t="n"/>
      <c r="B13" s="18" t="n"/>
      <c r="C13" s="18" t="n"/>
      <c r="D13" s="19" t="n"/>
      <c r="E13" s="19" t="n"/>
      <c r="F13" s="19" t="n"/>
    </row>
    <row r="14" ht="36" customHeight="1" s="24">
      <c r="A14" s="29" t="n"/>
      <c r="B14" s="18" t="n"/>
      <c r="C14" s="18" t="n"/>
      <c r="D14" s="19" t="n"/>
      <c r="E14" s="19" t="n"/>
      <c r="F14" s="19" t="n"/>
    </row>
    <row r="15" ht="36" customHeight="1" s="24">
      <c r="A15" s="29" t="n"/>
      <c r="B15" s="18" t="n"/>
      <c r="C15" s="18" t="n"/>
      <c r="D15" s="19" t="n"/>
      <c r="E15" s="19" t="n"/>
      <c r="F15" s="19" t="n"/>
    </row>
    <row r="16" ht="36" customHeight="1" s="24">
      <c r="A16" s="29" t="n"/>
      <c r="B16" s="18" t="n"/>
      <c r="C16" s="18" t="n"/>
      <c r="D16" s="19" t="n"/>
      <c r="E16" s="19" t="n"/>
      <c r="F16" s="19" t="n"/>
    </row>
    <row r="17" ht="36" customHeight="1" s="24">
      <c r="A17" s="29" t="n"/>
      <c r="B17" s="18" t="n"/>
      <c r="C17" s="18" t="n"/>
      <c r="D17" s="19" t="n"/>
      <c r="E17" s="19" t="n"/>
      <c r="F17" s="19" t="n"/>
    </row>
    <row r="18" ht="36" customHeight="1" s="24">
      <c r="A18" s="25" t="n"/>
      <c r="B18" s="26" t="n"/>
      <c r="C18" s="26" t="n"/>
      <c r="D18" s="27" t="n"/>
      <c r="E18" s="27" t="n"/>
      <c r="F18" s="27" t="n"/>
    </row>
    <row r="19" ht="36" customHeight="1" s="24">
      <c r="A19" s="25" t="n"/>
      <c r="B19" s="26" t="n"/>
      <c r="C19" s="26" t="n"/>
      <c r="D19" s="27" t="n"/>
      <c r="E19" s="27" t="n"/>
      <c r="F19" s="27" t="n"/>
    </row>
    <row r="20" ht="36" customHeight="1" s="24">
      <c r="A20" s="25" t="n"/>
      <c r="B20" s="26" t="n"/>
      <c r="C20" s="26" t="n"/>
      <c r="D20" s="27" t="n"/>
      <c r="E20" s="27" t="n"/>
      <c r="F20" s="27" t="n"/>
    </row>
    <row r="21" ht="36" customHeight="1" s="24">
      <c r="A21" s="25" t="n"/>
      <c r="B21" s="26" t="n"/>
      <c r="C21" s="26" t="n"/>
      <c r="D21" s="27" t="n"/>
      <c r="E21" s="27" t="n"/>
      <c r="F21" s="27" t="n"/>
    </row>
    <row r="22" ht="36" customHeight="1" s="24">
      <c r="A22" s="25" t="n"/>
      <c r="B22" s="26" t="n"/>
      <c r="C22" s="26" t="n"/>
      <c r="D22" s="27" t="n"/>
      <c r="E22" s="27" t="n"/>
      <c r="F22" s="27" t="n"/>
    </row>
    <row r="23" ht="36" customHeight="1" s="24">
      <c r="A23" s="25" t="n"/>
      <c r="B23" s="26" t="n"/>
      <c r="C23" s="26" t="n"/>
      <c r="D23" s="27" t="n"/>
      <c r="E23" s="27" t="n"/>
      <c r="F23" s="27" t="n"/>
    </row>
    <row r="24" ht="36" customHeight="1" s="24">
      <c r="A24" s="25" t="n"/>
      <c r="B24" s="26" t="n"/>
      <c r="C24" s="26" t="n"/>
      <c r="D24" s="27" t="n"/>
      <c r="E24" s="27" t="n"/>
      <c r="F24" s="27" t="n"/>
    </row>
    <row r="25" ht="36" customHeight="1" s="24">
      <c r="A25" s="25" t="n"/>
      <c r="B25" s="26" t="n"/>
      <c r="C25" s="26" t="n"/>
      <c r="D25" s="27" t="n"/>
      <c r="E25" s="27" t="n"/>
      <c r="F25" s="27" t="n"/>
    </row>
    <row r="26" ht="36" customHeight="1" s="24">
      <c r="A26" s="25" t="n"/>
      <c r="B26" s="26" t="n"/>
      <c r="C26" s="26" t="n"/>
      <c r="D26" s="27" t="n"/>
      <c r="E26" s="27" t="n"/>
      <c r="F26" s="27" t="n"/>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29"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01</t>
        </is>
      </c>
      <c r="F2" s="8" t="n"/>
    </row>
    <row r="3" ht="19.5" customHeight="1" s="24">
      <c r="A3" s="12" t="n"/>
      <c r="B3" s="7" t="n"/>
      <c r="C3" s="7" t="n"/>
      <c r="D3" s="8" t="n"/>
      <c r="E3" s="30" t="inlineStr">
        <is>
          <t>14/09/2026 – 20/09/2026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c r="B6" s="18" t="n"/>
      <c r="C6" s="18" t="n"/>
      <c r="D6" s="19" t="n"/>
      <c r="E6" s="19" t="n"/>
      <c r="F6" s="19" t="n"/>
    </row>
    <row r="7" ht="36" customHeight="1" s="24">
      <c r="A7" s="29" t="n"/>
      <c r="B7" s="18" t="n"/>
      <c r="C7" s="18" t="n"/>
      <c r="D7" s="19" t="n"/>
      <c r="E7" s="19" t="n"/>
      <c r="F7" s="19" t="n"/>
    </row>
    <row r="8" ht="36" customHeight="1" s="24">
      <c r="A8" s="29" t="n"/>
      <c r="B8" s="18" t="n"/>
      <c r="C8" s="18" t="n"/>
      <c r="D8" s="19" t="n"/>
      <c r="E8" s="19" t="n"/>
      <c r="F8" s="19" t="n"/>
    </row>
    <row r="9" ht="36" customHeight="1" s="24">
      <c r="A9" s="29" t="n"/>
      <c r="B9" s="18" t="n"/>
      <c r="C9" s="18" t="n"/>
      <c r="D9" s="19" t="n"/>
      <c r="E9" s="19" t="n"/>
      <c r="F9" s="19" t="n"/>
    </row>
    <row r="10" ht="36" customHeight="1" s="24">
      <c r="A10" s="29" t="n"/>
      <c r="B10" s="18" t="n"/>
      <c r="C10" s="18" t="n"/>
      <c r="D10" s="19" t="n"/>
      <c r="E10" s="19" t="n"/>
      <c r="F10" s="19" t="n"/>
    </row>
    <row r="11" ht="36" customHeight="1" s="24">
      <c r="A11" s="29" t="n"/>
      <c r="B11" s="18" t="n"/>
      <c r="C11" s="18" t="n"/>
      <c r="D11" s="19" t="n"/>
      <c r="E11" s="19" t="n"/>
      <c r="F11" s="19" t="n"/>
    </row>
    <row r="12" ht="36" customHeight="1" s="24">
      <c r="A12" s="29" t="n"/>
      <c r="B12" s="18" t="n"/>
      <c r="C12" s="18" t="n"/>
      <c r="D12" s="19" t="n"/>
      <c r="E12" s="19" t="n"/>
      <c r="F12" s="19" t="n"/>
    </row>
    <row r="13" ht="36" customHeight="1" s="24">
      <c r="A13" s="29" t="n"/>
      <c r="B13" s="18" t="n"/>
      <c r="C13" s="18" t="n"/>
      <c r="D13" s="19" t="n"/>
      <c r="E13" s="19" t="n"/>
      <c r="F13" s="19" t="n"/>
    </row>
    <row r="14" ht="36" customHeight="1" s="24">
      <c r="A14" s="29" t="n"/>
      <c r="B14" s="18" t="n"/>
      <c r="C14" s="18" t="n"/>
      <c r="D14" s="19" t="n"/>
      <c r="E14" s="19" t="n"/>
      <c r="F14" s="19" t="n"/>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01</t>
        </is>
      </c>
      <c r="F2" s="8" t="n"/>
    </row>
    <row r="3" ht="19.5" customHeight="1" s="24">
      <c r="A3" s="12" t="n"/>
      <c r="B3" s="7" t="n"/>
      <c r="C3" s="7" t="n"/>
      <c r="D3" s="8" t="n"/>
      <c r="E3" s="30" t="inlineStr">
        <is>
          <t>14/09/2026 – 20/09/2026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0" t="n">
        <v>46279.0</v>
      </c>
      <c r="B6" s="18" t="inlineStr">
        <is>
          <t xml:space="preserve">Sang</t>
        </is>
      </c>
      <c r="C6" s="18" t="inlineStr">
        <is>
          <t xml:space="preserve">Claude</t>
        </is>
      </c>
      <c r="D6" s="19" t="inlineStr">
        <is>
          <t xml:space="preserve">Sản phẩm web — chấm được bài nói dài, hai màn hình tổng hợp, sửa lỗi giao diện</t>
        </is>
      </c>
      <c r="E6" s="19" t="inlineStr">
        <is>
          <t xml:space="preserve">Mở rộng ngưỡng thời lượng bài nói vì sinh viên có thể nộp bài dài: chấm bài dài theo cửa sổ thay vì từ chối, giữ nguyên nguyên tắc không bịa điểm khi thiếu căn cứ. Nghiên cứu thêm các chức năng còn thiếu so với spec, làm hai màn hình tổng hợp cho giảng viên/quản trị, sửa các lỗi giao diện phát hiện khi chạy thử; tạo PR và merge.</t>
        </is>
      </c>
      <c r="F6" s="19" t="inlineStr">
        <is>
          <t xml:space="preserve">https://github.com/Nguyneee/ai-assessor-cefr/pull/4
Phiên bản / model: Claude Opus 5.5 (Claude Code, desktop app)
Nội dung AI tạo ra: PR #4 (+2664/−78, 41 tệp): chấm bài dài bằng cách cắt cửa sổ 30–60 s ở khoảng lặng, điểm cuối là trung vị kèm window_spread; hai màn hình tổng hợp (/tien-do, /review/thong-ke); người học tự xoá bài (FR-35); in và lưu PDF báo cáo; sửa năm lỗi giao diện và một lỗi logic, cả sáu có test ghim lại.
Phần Sang đã sửa / hoàn thiện: Sang yêu cầu nới ngưỡng thời lượng, chạy thử trên localhost và merge PR.</t>
        </is>
      </c>
    </row>
    <row r="7" ht="36" customHeight="1" s="24">
      <c r="A7" s="20" t="n">
        <v>46279.0</v>
      </c>
      <c r="B7" s="18" t="inlineStr">
        <is>
          <t xml:space="preserve">Sang</t>
        </is>
      </c>
      <c r="C7" s="18" t="inlineStr">
        <is>
          <t xml:space="preserve">Claude</t>
        </is>
      </c>
      <c r="D7" s="19" t="inlineStr">
        <is>
          <t xml:space="preserve">Tài liệu — đồng bộ SRS/SDD với mã nguồn và tài liệu Google Docs</t>
        </is>
      </c>
      <c r="E7" s="19" t="inlineStr">
        <is>
          <t xml:space="preserve">Đồng bộ tab SDD với SRS trên Google Docs của nhóm theo mã nguồn hiện tại, bổ sung các yêu cầu mới phát sinh khi làm sản phẩm; chạy project ở localhost để đối chiếu màn hình thực tế với tài liệu.</t>
        </is>
      </c>
      <c r="F7" s="19" t="inlineStr">
        <is>
          <t xml:space="preserve">https://github.com/Nguyneee/ai-assessor-cefr/pull/5
Phiên bản / model: Claude Opus 5.5 (Claude Code, desktop app)
Nội dung AI tạo ra: PR #5: SRS bắt kịp mã nguồn (thêm FR-21a, FR-27a và hai màn hình mới); nội dung SRS/SDD trên Google Docs được cập nhật theo repo.
Phần Sang đã sửa / hoàn thiện: Sang kiểm tra nội dung trên Google Docs và merge PR.</t>
        </is>
      </c>
    </row>
    <row r="8" ht="36" customHeight="1" s="24">
      <c r="A8" s="20" t="n">
        <v>46279.0</v>
      </c>
      <c r="B8" s="18" t="inlineStr">
        <is>
          <t xml:space="preserve">Sang</t>
        </is>
      </c>
      <c r="C8" s="18" t="inlineStr">
        <is>
          <t xml:space="preserve">Claude</t>
        </is>
      </c>
      <c r="D8" s="19" t="inlineStr">
        <is>
          <t xml:space="preserve">Sản phẩm web — báo chưa ký đồng thuận trước khi ghi âm</t>
        </is>
      </c>
      <c r="E8" s="19" t="inlineStr">
        <is>
          <t xml:space="preserve">Sửa lỗi: sinh viên ghi âm xong, bấm nộp mới nhận thông báo CONSENT_MISSING. Phải chặn và hướng dẫn ký đồng thuận trước khi bắt đầu ghi âm, có test cho hành vi mới.</t>
        </is>
      </c>
      <c r="F8" s="19" t="inlineStr">
        <is>
          <t xml:space="preserve">https://github.com/Nguyneee/ai-assessor-cefr/pull/6
Phiên bản / model: Claude Opus 5.5 (Claude Code, desktop app)
Nội dung AI tạo ra: PR #6: kiểm đồng thuận ngay khi vào trang ghi âm và dẫn sang trang /consent; thêm test.
Phần Sang đã sửa / hoàn thiện: Sang phát hiện lỗi khi tự test, xác nhận cách sửa và merge.</t>
        </is>
      </c>
    </row>
    <row r="9" ht="36" customHeight="1" s="24">
      <c r="A9" s="20" t="n">
        <v>46279.0</v>
      </c>
      <c r="B9" s="18" t="inlineStr">
        <is>
          <t xml:space="preserve">Sang</t>
        </is>
      </c>
      <c r="C9" s="18" t="inlineStr">
        <is>
          <t xml:space="preserve">Claude</t>
        </is>
      </c>
      <c r="D9" s="19" t="inlineStr">
        <is>
          <t xml:space="preserve">M03 ASR — nửa sau bài nói dài không chấm được</t>
        </is>
      </c>
      <c r="E9" s="19" t="inlineStr">
        <is>
          <t xml:space="preserve">Bài nói dài chấm được nửa đầu nhưng nửa sau bị từ chối. Tìm nguyên nhân (không đoán), đề xuất có cần model ASR mạnh hơn không, sửa và đo lại thời gian xử lý.</t>
        </is>
      </c>
      <c r="F9" s="19" t="inlineStr">
        <is>
          <t xml:space="preserve">https://github.com/Nguyneee/ai-assessor-cefr/pull/7
Phiên bản / model: Claude Opus 5.5 (Claude Code, desktop app)
Nội dung AI tạo ra: Xác định nguyên nhân là Whisper tự viết tiếp nội dung khi điều kiện theo câu trước (condition_on_previous_text); tắt tuỳ chọn này thì nửa sau chấm được và xử lý nhanh khoảng 4 lần. Kết luận chưa cần đổi model lớn hơn (PR #7).
Phần Sang đã sửa / hoàn thiện: Sang chạy lại bài dài để xác nhận và merge; chấp nhận giữ model hiện tại.</t>
        </is>
      </c>
    </row>
    <row r="10" ht="36" customHeight="1" s="24">
      <c r="A10" s="20" t="n">
        <v>46284.0</v>
      </c>
      <c r="B10" s="18" t="inlineStr">
        <is>
          <t xml:space="preserve">Sang</t>
        </is>
      </c>
      <c r="C10" s="18" t="inlineStr">
        <is>
          <t xml:space="preserve">Claude</t>
        </is>
      </c>
      <c r="D10" s="19" t="inlineStr">
        <is>
          <t xml:space="preserve">Kế hoạch — cập nhật tài liệu sau fine-tune DeBERTa, phân công W5–W15</t>
        </is>
      </c>
      <c r="E10" s="19" t="inlineStr">
        <is>
          <t xml:space="preserve">Pull code mới của nhóm (Thắng đã fine-tune DeBERTa) và cập nhật hai tài liệu kế hoạch cho đúng; trả lời có nên fine-tune tiếp các model khác như Whisper hay không, phân công công việc W5–W15 cho ba thành viên.</t>
        </is>
      </c>
      <c r="F10" s="19" t="inlineStr">
        <is>
          <t xml:space="preserve">https://github.com/Nguyneee/ai-assessor-cefr/pull/9, https://github.com/Nguyneee/ai-assessor-cefr/pull/10
Phiên bản / model: Claude Opus 5.5 (Claude Code, desktop app)
Nội dung AI tạo ra: PR #9: FR-19 không còn là hạng mục bỏ, sửa ba chỗ dễ đọc sai số liệu DeBERTa. PR #10: phân công W5–W15 theo trục dọc cho ba người; phân tích chưa nên fine-tune Whisper (cần đo WER giọng Việt trước, đổi ASR phải huấn luyện lại bộ chấm).
Phần Sang đã sửa / hoàn thiện: Sang đọc phân tích, giữ quyết định không fine-tune Whisper lúc này và merge.</t>
        </is>
      </c>
    </row>
    <row r="11" ht="36" customHeight="1" s="24">
      <c r="A11" s="20" t="n">
        <v>46284.0</v>
      </c>
      <c r="B11" s="18" t="inlineStr">
        <is>
          <t xml:space="preserve">Sang</t>
        </is>
      </c>
      <c r="C11" s="18" t="inlineStr">
        <is>
          <t xml:space="preserve">Claude</t>
        </is>
      </c>
      <c r="D11" s="19" t="inlineStr">
        <is>
          <t xml:space="preserve">Nghiên cứu — hướng phát triển tiếp ngoài spec hiện tại</t>
        </is>
      </c>
      <c r="E11" s="19" t="inlineStr">
        <is>
          <t xml:space="preserve">Hệ thống đã chạy ổn; nghiên cứu thêm tính năng đáng làm chứ không chỉ dựa vào spec đã xong, dùng nhiều agent song song để khảo sát và chỉ ra chỗ yếu thật của hệ thống bằng số liệu.</t>
        </is>
      </c>
      <c r="F11" s="19" t="inlineStr">
        <is>
          <t xml:space="preserve">https://github.com/Nguyneee/ai-assessor-cefr/pull/11
Phiên bản / model: Claude Opus 5.5 (Claude Code, desktop app)
Nội dung AI tạo ra: PR #11: HUONG_PHAT_TRIEN_TIEP.md (429 dòng), sinh từ phiên 6 agent đọc lại tài liệu và mã cộng 6 agent sinh ý tưởng. Ba phát hiện đã kiểm chứng: máy chưa tự kết luận bài nào (ASR lệch phiên bản, vùng gần ranh giới band phủ trọn B1); mô hình gần như không nói A2; độ chính xác band được nâng nhờ không đoán A2. Ba việc đề xuất theo thứ tự nhân quả.
Phần Sang đã sửa / hoàn thiện: Sang đọc kết quả và chọn hướng đưa vào kế hoạch.</t>
        </is>
      </c>
    </row>
    <row r="12" ht="36" customHeight="1" s="24">
      <c r="A12" s="20" t="n">
        <v>46284.0</v>
      </c>
      <c r="B12" s="18" t="inlineStr">
        <is>
          <t xml:space="preserve">Sang</t>
        </is>
      </c>
      <c r="C12" s="18" t="inlineStr">
        <is>
          <t xml:space="preserve">Claude</t>
        </is>
      </c>
      <c r="D12" s="19" t="inlineStr">
        <is>
          <t xml:space="preserve">CI — bật lại pipeline gọn nhưng đủ cho rubric</t>
        </is>
      </c>
      <c r="E12" s="19" t="inlineStr">
        <is>
          <t xml:space="preserve">Bật lại CI nhưng đơn giản, linh hoạt, không quá chặt mà vẫn đáp ứng yêu cầu rubric (lint, test, quét bí mật).</t>
        </is>
      </c>
      <c r="F12" s="19" t="inlineStr">
        <is>
          <t xml:space="preserve">https://github.com/Nguyneee/ai-assessor-cefr/pull/12
Phiên bản / model: Claude Opus 5.5 (Claude Code, desktop app)
Nội dung AI tạo ra: PR #12: hai job song song, chín bước: kiểm định dạng, lint, kiểm thử kèm độ phủ (ngưỡng 70 %), lưu báo cáo độ phủ; job gitleaks tách riêng. Thêm concurrency và chạy tay (workflow_dispatch); dọn tools/ cho qua lint.
Phần Sang đã sửa / hoàn thiện: Sang chọn mức độ chặt của CI và merge.</t>
        </is>
      </c>
    </row>
    <row r="13" ht="36" customHeight="1" s="24">
      <c r="A13" s="20" t="n">
        <v>46284.0</v>
      </c>
      <c r="B13" s="18" t="inlineStr">
        <is>
          <t xml:space="preserve">Sang</t>
        </is>
      </c>
      <c r="C13" s="18" t="inlineStr">
        <is>
          <t xml:space="preserve">Claude</t>
        </is>
      </c>
      <c r="D13" s="19" t="inlineStr">
        <is>
          <t xml:space="preserve">Thiết kế — một sơ đồ lớp chuẩn hướng đối tượng</t>
        </is>
      </c>
      <c r="E13" s="19" t="inlineStr">
        <is>
          <t xml:space="preserve">Rà soát kỹ sơ đồ lớp: thiết kế theo OOP, mỗi đối tượng phải có mục đích, được dùng quan hệ nhiều–nhiều khi hợp lý; chỉ vẽ phần chính cho đơn giản; đưa lên draw.io để chỉnh kéo thả được, sắp bố cục, đường quan hệ màu đen; sơ đồ chỉ giữ mô hình miền, bỏ lớp hạ tầng.</t>
        </is>
      </c>
      <c r="F13" s="19" t="inlineStr">
        <is>
          <t xml:space="preserve">https://github.com/Nguyneee/ai-assessor-cefr/pull/13, #14, #15; https://app.diagrams.net/#G14Yt7sDxBX-t8wUy2cNQigj8AGnZFW2_H
Phiên bản / model: Claude Opus 5.5 (Claude Code, desktop app)
Nội dung AI tạo ra: PR #13: gộp còn một sơ đồ lớp và sửa mã theo; PR #14: sắp lại bố cục; PR #15: bỏ bốn lớp hạ tầng khỏi sơ đồ. Sơ đồ trên draw.io (Drive) được sửa theo.
Phần Sang đã sửa / hoàn thiện: Sang đưa yêu cầu thiết kế, cấp quyền Drive, duyệt từng bản và merge.</t>
        </is>
      </c>
    </row>
    <row r="14" ht="36" customHeight="1" s="24">
      <c r="A14" s="20" t="n">
        <v>46284.0</v>
      </c>
      <c r="B14" s="18" t="inlineStr">
        <is>
          <t xml:space="preserve">Sang</t>
        </is>
      </c>
      <c r="C14" s="18" t="inlineStr">
        <is>
          <t xml:space="preserve">Claude</t>
        </is>
      </c>
      <c r="D14" s="19" t="inlineStr">
        <is>
          <t xml:space="preserve">Thiết kế — tinh chỉnh lớp và kiểu dữ liệu trên sơ đồ lớp</t>
        </is>
      </c>
      <c r="E14" s="19" t="inlineStr">
        <is>
          <t xml:space="preserve">Đổi AsrResult thành Transcript và giải thích value object dùng để làm gì; cắt những gì không thực sự có ý nghĩa; giữ lại Priority; mọi thuộc tính phải có kiểu dữ liệu vì thiếu kiểu là vi phạm nguyên tắc thiết kế.</t>
        </is>
      </c>
      <c r="F14" s="19" t="inlineStr">
        <is>
          <t xml:space="preserve">https://github.com/Nguyneee/ai-assessor-cefr/pull/16, #17, #18, #19
Phiên bản / model: Claude Opus 5.5 (Claude Code, desktop app)
Nội dung AI tạo ra: PR #16: AsrResult → Transcript; PR #17: cắt Priority và mười thao tác suy ra được; PR #18: đưa lại Priority theo quyết định; PR #19: ghi đủ kiểu cho mọi thuộc tính và thao tác.
Phần Sang đã sửa / hoàn thiện: Sang quyết định giữ Priority sau khi đã cắt, yêu cầu ghi đủ kiểu và duyệt từng PR.</t>
        </is>
      </c>
    </row>
    <row r="15" ht="36" customHeight="1" s="24">
      <c r="A15" s="20" t="n">
        <v>46284.0</v>
      </c>
      <c r="B15" s="18" t="inlineStr">
        <is>
          <t xml:space="preserve">Sang</t>
        </is>
      </c>
      <c r="C15" s="18" t="inlineStr">
        <is>
          <t xml:space="preserve">Claude</t>
        </is>
      </c>
      <c r="D15" s="19" t="inlineStr">
        <is>
          <t xml:space="preserve">Thiết kế — gọn lại ReasonCode và đưa bộ sinh sơ đồ vào repo</t>
        </is>
      </c>
      <c r="E15" s="19" t="inlineStr">
        <is>
          <t xml:space="preserve">Kiểm tra vì sao ReasonCode có tới 25 mã, bỏ mã không nơi nào sinh ra; bỏ hộp enumeration ReasonCode khỏi sơ đồ cho gọn nhưng vẫn tra cứu được; đưa script sinh sơ đồ vào repo để sơ đồ tái tạo được.</t>
        </is>
      </c>
      <c r="F15" s="19" t="inlineStr">
        <is>
          <t xml:space="preserve">https://github.com/Nguyneee/ai-assessor-cefr/pull/20, #22, #23, #24
Phiên bản / model: Claude Opus 5.5 (Claude Code, desktop app)
Nội dung AI tạo ra: PR #20: bỏ ba mã không nơi nào sinh ra, vẽ đủ giá trị enum; PR #22: bỏ hộp ReasonCode khỏi sơ đồ, giữ ở bảng tra cứu; PR #23: bộ sinh sơ đồ, bố cục 4 cột, cắt 8 thuộc tính truy vết; PR #24: script chạy được từ thư mục bất kỳ.
Phần Sang đã sửa / hoàn thiện: Sang chất vấn số lượng mã lý do, chọn cách trình bày gọn và merge.</t>
        </is>
      </c>
    </row>
    <row r="16" ht="36" customHeight="1" s="24">
      <c r="A16" s="20" t="n">
        <v>46284.0</v>
      </c>
      <c r="B16" s="18" t="inlineStr">
        <is>
          <t xml:space="preserve">Sang</t>
        </is>
      </c>
      <c r="C16" s="18" t="inlineStr">
        <is>
          <t xml:space="preserve">Claude</t>
        </is>
      </c>
      <c r="D16" s="19" t="inlineStr">
        <is>
          <t xml:space="preserve">Báo cáo tuần 1 — đối chiếu rubric và viết đầy đủ các mục</t>
        </is>
      </c>
      <c r="E16" s="19" t="inlineStr">
        <is>
          <t xml:space="preserve">Tóm tắt báo cáo tuần 1 của nhóm và đối chiếu rubric xem đã đạt chưa; đọc nhận xét của giảng viên cho các nhóm khác để rút kinh nghiệm; viết báo cáo tuần 1 đầy đủ class diagram, SSD, SRS với mục lục rõ ràng, viết tiếp mục 8 đến 12.</t>
        </is>
      </c>
      <c r="F16" s="19" t="inlineStr">
        <is>
          <t xml:space="preserve">https://github.com/Nguyneee/ai-assessor-cefr/pull/21
Phiên bản / model: Claude Opus 5.5 (Claude Code, desktop app)
Nội dung AI tạo ra: PR #21: báo cáo tuần 1 đầy đủ (708 dòng), bổ sung mục 8–12; danh sách điểm cần sửa theo rubric và theo nhận xét giảng viên cho nhóm khác.
Phần Sang đã sửa / hoàn thiện: Sang cung cấp nhận xét của giảng viên, đọc lại báo cáo và merge.</t>
        </is>
      </c>
    </row>
    <row r="17" ht="36" customHeight="1" s="24">
      <c r="A17" s="20" t="n">
        <v>46285.0</v>
      </c>
      <c r="B17" s="18" t="inlineStr">
        <is>
          <t xml:space="preserve">Sang</t>
        </is>
      </c>
      <c r="C17" s="18" t="inlineStr">
        <is>
          <t xml:space="preserve">Claude</t>
        </is>
      </c>
      <c r="D17" s="19" t="inlineStr">
        <is>
          <t xml:space="preserve">Thiết kế — ký hiệu UML: bội số, thuộc tính tham chiếu, không để kiểu mồ côi</t>
        </is>
      </c>
      <c r="E17" s="19" t="inlineStr">
        <is>
          <t xml:space="preserve">Sửa sơ đồ lớp theo góp ý: QCResult có reasons kiểu ReasonCode nhưng đã bỏ hộp ReasonCode thì phải xử lý; tham khảo cách bản sơ đồ lớp Shop ghi thuộc tính tham chiếu (không đổi thiết kế vai trò); không đặt [0..1] sai chỗ trong thuộc tính; bỏ note; ReasonCode giữ đủ, không để kiểu nào mồ côi.</t>
        </is>
      </c>
      <c r="F17" s="19" t="inlineStr">
        <is>
          <t xml:space="preserve">https://github.com/Nguyneee/ai-assessor-cefr/pull/25, #26, #27, #28, #29
Phiên bản / model: Claude Opus 5.5 (Claude Code, desktop app)
Nội dung AI tạo ra: PR #25: bội số UML thay '| None'; PR #26: ghi thuộc tính tham chiếu theo cách bản Shop; PR #27: bội số vẽ trên cạnh, thuộc tính ghi kiểu thuần và List&lt;X&gt;; PR #28: bỏ note, vẽ lại ReasonCode đầy đủ; PR #29: test ghim luật không để kiểu mồ côi.
Phần Sang đã sửa / hoàn thiện: Sang chỉ ra từng lỗi ký hiệu, giữ thiết kế vai trò hiện có và duyệt từng PR.</t>
        </is>
      </c>
    </row>
    <row r="18" ht="36" customHeight="1" s="24">
      <c r="A18" s="20" t="n">
        <v>46285.0</v>
      </c>
      <c r="B18" s="18" t="inlineStr">
        <is>
          <t xml:space="preserve">Sang</t>
        </is>
      </c>
      <c r="C18" s="18" t="inlineStr">
        <is>
          <t xml:space="preserve">Claude</t>
        </is>
      </c>
      <c r="D18" s="19" t="inlineStr">
        <is>
          <t xml:space="preserve">Thiết kế — thay Map bằng lớp giá trị Feature, sắp lại đường nối</t>
        </is>
      </c>
      <c r="E18" s="19" t="inlineStr">
        <is>
          <t xml:space="preserve">Giải thích ký hiệu Map&lt;str, ...&gt; trên sơ đồ và kiểm tra có đúng bản chất thiết kế hướng đối tượng không; nếu không thì thay bằng lớp giá trị; sửa trên file draw.io và vẽ tránh các đường quan hệ đè lên nhau.</t>
        </is>
      </c>
      <c r="F18" s="19" t="inlineStr">
        <is>
          <t xml:space="preserve">https://github.com/Nguyneee/ai-assessor-cefr/pull/30; https://app.diagrams.net/#G14Yt7sDxBX-t8wUy2cNQigj8AGnZFW2_H
Phiên bản / model: Claude Opus 5.5 (Claude Code, desktop app)
Nội dung AI tạo ra: PR #30 (+1976/−290, 25 tệp): thay Map&lt;str, float&gt; bằng lớp giá trị Feature trong sơ đồ và mã; sơ đồ trên draw.io sắp lại đường nối không đè nhau.
Phần Sang đã sửa / hoàn thiện: Sang chất vấn tính đúng OOP của Map, kiểm lại trên draw.io và merge.</t>
        </is>
      </c>
    </row>
    <row r="19" ht="36" customHeight="1" s="24">
      <c r="A19" s="20" t="n">
        <v>46285.0</v>
      </c>
      <c r="B19" s="18" t="inlineStr">
        <is>
          <t xml:space="preserve">Sang</t>
        </is>
      </c>
      <c r="C19" s="18" t="inlineStr">
        <is>
          <t xml:space="preserve">Claude</t>
        </is>
      </c>
      <c r="D19" s="19" t="inlineStr">
        <is>
          <t xml:space="preserve">Use case và repo — vẽ lại ba sơ đồ use case, tạo lại repo sạch</t>
        </is>
      </c>
      <c r="E19" s="19" t="inlineStr">
        <is>
          <t xml:space="preserve">Vẽ lại ba sơ đồ use case cho chuẩn: chỉ có tác nhân sinh viên, giảng viên, quản trị viên (hệ thống không phải actor); đủ use case của sinh viên; quan hệ extend đúng chiều; bố cục không chồng chéo. Sau đó làm sạch quy trình git: phải qua nhánh và PR rồi mới merge, không commit vụn.</t>
        </is>
      </c>
      <c r="F19" s="19" t="inlineStr">
        <is>
          <t xml:space="preserve">Commit bcc3c47 → c9118c3 trên repo cũ; https://github.com/ThanhSangLouis/ai-assessor-cefr (commit a038aab)
Phiên bản / model: Claude Opus 5.5 (Claude Code, desktop app)
Nội dung AI tạo ra: Ba sơ đồ use case vẽ lại theo bảng SRS, bổ sung 5 use case sinh viên, sửa quan hệ extend và bố cục. Tạo repo mới ThanhSangLouis/ai-assessor-cefr bằng một commit sạch (repo cũ phình to vì ảnh sơ đồ commit lặp lại); ghi quy trình nhánh → PR → CI xanh → merge.
Phần Sang đã sửa / hoàn thiện: Sang chỉ ra từng lỗi use case, yêu cầu làm lại repo theo quy trình PR và chốt quy tắc không commit vụn.</t>
        </is>
      </c>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01</t>
        </is>
      </c>
      <c r="C2" s="2" t="n"/>
      <c r="D2" s="2" t="n"/>
      <c r="E2" s="2" t="n"/>
      <c r="F2" s="2" t="n"/>
    </row>
    <row r="3" ht="19.5" customHeight="1" s="24">
      <c r="A3" s="30" t="inlineStr">
        <is>
          <t>14/09/2026 – 20/09/2026</t>
        </is>
      </c>
      <c r="B3" s="2" t="n"/>
      <c r="C3" s="2" t="n"/>
      <c r="D3" s="2" t="n"/>
      <c r="E3" s="2" t="n"/>
      <c r="F3" s="2" t="n"/>
    </row>
    <row r="4" ht="15" customHeight="1" s="24">
      <c r="A4" s="2" t="n"/>
      <c r="B4" s="2" t="n"/>
      <c r="C4" s="2" t="n"/>
      <c r="D4" s="2" t="n"/>
      <c r="E4" s="2" t="n"/>
      <c r="F4" s="2" t="n"/>
    </row>
    <row r="5" ht="33.75" customHeight="1" s="24">
      <c r="A5" s="4" t="inlineStr">
        <is>
          <t>TỔNG SỐ PROMPT</t>
        </is>
      </c>
      <c r="B5" s="5">
        <f>SUM(B9:B11)</f>
        <v>14</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0</v>
      </c>
      <c r="C9" s="2" t="n"/>
      <c r="D9" s="14" t="inlineStr">
        <is>
          <t>Claude</t>
        </is>
      </c>
      <c r="E9" s="16">
        <f>COUNTIFS(Thắng!$A$6:$A$306,"&lt;&gt;",Thắng!$C$6:$C$306,D9)+COUNTIFS(Sang!$A$6:$A$306,"&lt;&gt;",Sang!$C$6:$C$306,D9)+COUNTIFS(Nguyên!$A$6:$A$306,"&lt;&gt;",Nguyên!$C$6:$C$306,D9)</f>
        <v>14</v>
      </c>
      <c r="F9" s="2" t="n"/>
    </row>
    <row r="10" ht="24.75" customHeight="1" s="24">
      <c r="A10" s="11" t="inlineStr">
        <is>
          <t>Sang</t>
        </is>
      </c>
      <c r="B10" s="13">
        <f>COUNTIF(Sang!$A$6:$A$306,"&lt;&gt;")</f>
        <v>14</v>
      </c>
      <c r="C10" s="2" t="n"/>
      <c r="D10" s="14" t="inlineStr">
        <is>
          <t>Codex</t>
        </is>
      </c>
      <c r="E10" s="16">
        <f>COUNTIFS(Thắng!$A$6:$A$306,"&lt;&gt;",Thắng!$C$6:$C$306,D10)+COUNTIFS(Sang!$A$6:$A$306,"&lt;&gt;",Sang!$C$6:$C$306,D10)+COUNTIFS(Nguyên!$A$6:$A$306,"&lt;&gt;",Nguyên!$C$6:$C$306,D10)</f>
        <v>0</v>
      </c>
      <c r="F10" s="2" t="n"/>
    </row>
    <row r="11" ht="24.75" customHeight="1" s="24">
      <c r="A11" s="11" t="inlineStr">
        <is>
          <t>Nguyên</t>
        </is>
      </c>
      <c r="B11" s="13">
        <f>COUNTIF(Nguyên!$A$6:$A$306,"&lt;&gt;")</f>
        <v>0</v>
      </c>
      <c r="C11" s="2" t="n"/>
      <c r="D11" s="14" t="inlineStr">
        <is>
          <t>Antigravity</t>
        </is>
      </c>
      <c r="E11" s="16">
        <f>COUNTIFS(Thắng!$A$6:$A$306,"&lt;&gt;",Thắng!$C$6:$C$306,D11)+COUNTIFS(Sang!$A$6:$A$306,"&lt;&gt;",Sang!$C$6:$C$306,D11)+COUNTIFS(Nguyên!$A$6:$A$306,"&lt;&gt;",Nguyên!$C$6:$C$306,D11)</f>
        <v>0</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2026-10-08T02:38:54Z</dcterms:created>
  <dcterms:modified xsi:type="dcterms:W3CDTF">2026-10-08T06:26:40Z</dcterms:modified>
  <cp:lastModifiedBy>PC</cp:lastModifiedBy>
</cp:coreProperties>
</file>