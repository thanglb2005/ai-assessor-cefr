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hắng" sheetId="1" r:id="rId5"/>
    <sheet state="visible" name="Nguyên" sheetId="2" r:id="rId6"/>
    <sheet state="visible" name="Sang" sheetId="3" r:id="rId7"/>
    <sheet state="visible" name="Tổng hợp" sheetId="4" r:id="rId8"/>
  </sheets>
  <definedNames/>
  <calcPr calcMode="auto" fullCalcOnLoad="1" forceFullCalc="1"/>
</workbook>
</file>

<file path=xl/sharedStrings.xml><?xml version="1.0" encoding="utf-8"?>
<sst xmlns="http://schemas.openxmlformats.org/spreadsheetml/2006/main" count="48" uniqueCount="20">
  <si>
    <t>TỔNG HỢP SỬ DỤNG AI</t>
  </si>
  <si>
    <t>TỔNG SỐ PROMPT</t>
  </si>
  <si>
    <t>NGƯỜI TẠO</t>
  </si>
  <si>
    <t>SỐ PROMPT</t>
  </si>
  <si>
    <t>TOOL AI</t>
  </si>
  <si>
    <t>NHẬT KÝ SỬ DỤNG AI</t>
  </si>
  <si>
    <t>Thắng</t>
  </si>
  <si>
    <t>Ngày</t>
  </si>
  <si>
    <t>Claude</t>
  </si>
  <si>
    <t>Người tạo</t>
  </si>
  <si>
    <t>Tool AI</t>
  </si>
  <si>
    <t>Sang</t>
  </si>
  <si>
    <t>Công việc</t>
  </si>
  <si>
    <t>Prompt đã dùng</t>
  </si>
  <si>
    <t>Minh chứng</t>
  </si>
  <si>
    <t>Codex</t>
  </si>
  <si>
    <t>Nguyên</t>
  </si>
  <si>
    <t>Antigravity</t>
  </si>
  <si>
    <t>ABC</t>
  </si>
  <si>
    <t xml:space="preserve">ABC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</si>
</sst>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0">
    <font>
      <sz val="11.0"/>
      <color rgb="FF000000"/>
      <name val="Carlito"/>
      <scheme val="minor"/>
    </font>
    <font>
      <b/>
      <sz val="23.0"/>
      <color rgb="FF38761D"/>
      <name val="Times New Roman"/>
    </font>
    <font>
      <sz val="11.0"/>
      <color theme="1"/>
      <name val="Times New Roman"/>
    </font>
    <font>
      <i/>
      <sz val="10.0"/>
      <color rgb="FF6B7785"/>
      <name val="Times New Roman"/>
    </font>
    <font>
      <b/>
      <sz val="11.0"/>
      <color rgb="FFFFFFFF"/>
      <name val="Times New Roman"/>
    </font>
    <font>
      <b/>
      <sz val="11.0"/>
      <color rgb="FF17324D"/>
      <name val="Times New Roman"/>
    </font>
    <font>
      <color theme="1"/>
      <name val="Carlito"/>
      <scheme val="minor"/>
    </font>
    <font>
      <sz val="11.0"/>
      <color rgb="FF263442"/>
      <name val="Times New Roman"/>
    </font>
    <font>
      <b/>
      <sz val="23.0"/>
      <color rgb="FFCC0000"/>
      <name val="Times New Roman"/>
    </font>
    <font>
      <i/>
      <sz val="11.0"/>
      <color rgb="FF6B7785"/>
      <name val="Times New Roman"/>
    </font>
  </fonts>
  <fills count="9">
    <fill>
      <patternFill patternType="none"/>
    </fill>
    <fill>
      <patternFill patternType="lightGray"/>
    </fill>
    <fill>
      <patternFill patternType="solid">
        <fgColor rgb="FF17324D"/>
        <bgColor rgb="FF17324D"/>
      </patternFill>
    </fill>
    <fill>
      <patternFill patternType="solid">
        <fgColor rgb="FFEAF1F8"/>
        <bgColor rgb="FFEAF1F8"/>
      </patternFill>
    </fill>
    <fill>
      <patternFill patternType="solid">
        <fgColor rgb="FF2E5B88"/>
        <bgColor rgb="FF2E5B88"/>
      </patternFill>
    </fill>
    <fill>
      <patternFill patternType="solid">
        <fgColor rgb="FFF5F8FC"/>
        <bgColor rgb="FFF5F8FC"/>
      </patternFill>
    </fill>
    <fill>
      <patternFill patternType="solid">
        <fgColor rgb="FFF8F5EE"/>
        <bgColor rgb="FFF8F5EE"/>
      </patternFill>
    </fill>
    <fill>
      <patternFill patternType="solid">
        <fgColor rgb="FFFFF8E7"/>
        <bgColor rgb="FFFFF8E7"/>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vertical="center"/>
    </xf>
    <xf borderId="0" fillId="0" fontId="3" numFmtId="0" xfId="0" applyAlignment="1" applyFont="1">
      <alignment vertical="center"/>
    </xf>
    <xf borderId="1" fillId="2" fontId="4" numFmtId="0" xfId="0" applyAlignment="1" applyBorder="1" applyFill="1" applyFont="1">
      <alignment horizontal="center" vertical="center"/>
    </xf>
    <xf borderId="1" fillId="3" fontId="5" numFmtId="0" xfId="0" applyAlignment="1" applyBorder="1" applyFill="1" applyFont="1">
      <alignment horizontal="center" vertical="center"/>
    </xf>
    <xf borderId="0" fillId="0" fontId="6" numFmtId="0" xfId="0" applyAlignment="1" applyFont="1">
      <alignment horizontal="left"/>
    </xf>
    <xf borderId="0" fillId="0" fontId="7" numFmtId="0" xfId="0" applyFont="1"/>
    <xf borderId="0" fillId="0" fontId="7" numFmtId="0" xfId="0" applyAlignment="1" applyFont="1">
      <alignment horizontal="left"/>
    </xf>
    <xf borderId="0" fillId="0" fontId="8" numFmtId="0" xfId="0" applyFont="1"/>
    <xf borderId="1" fillId="4" fontId="4" numFmtId="0" xfId="0" applyAlignment="1" applyBorder="1" applyFill="1" applyFont="1">
      <alignment horizontal="center" vertical="center"/>
    </xf>
    <xf borderId="1" fillId="5" fontId="2" numFmtId="0" xfId="0" applyAlignment="1" applyBorder="1" applyFill="1" applyFont="1">
      <alignment vertical="center"/>
    </xf>
    <xf borderId="0" fillId="0" fontId="3" numFmtId="0" xfId="0" applyFont="1"/>
    <xf borderId="1" fillId="5" fontId="2" numFmtId="0" xfId="0" applyAlignment="1" applyBorder="1" applyFill="1" applyFont="1">
      <alignment horizontal="center" vertical="center"/>
    </xf>
    <xf borderId="1" fillId="6" fontId="2" numFmtId="0" xfId="0" applyAlignment="1" applyBorder="1" applyFill="1" applyFont="1">
      <alignment vertical="center"/>
    </xf>
    <xf borderId="1" fillId="0" fontId="4" numFmtId="0" xfId="0" applyAlignment="1" applyBorder="1" applyFont="1">
      <alignment horizontal="center" readingOrder="0" shrinkToFit="0" vertical="center" wrapText="1"/>
    </xf>
    <xf borderId="1" fillId="6" fontId="2" numFmtId="0" xfId="0" applyAlignment="1" applyBorder="1" applyFill="1" applyFont="1">
      <alignment horizontal="center" vertical="center"/>
    </xf>
    <xf borderId="1" fillId="7" fontId="7" numFmtId="164" xfId="0" applyAlignment="1" applyBorder="1" applyFill="1" applyFont="1" applyNumberFormat="1">
      <alignment horizontal="center" readingOrder="0" shrinkToFit="0" vertical="center" wrapText="0"/>
    </xf>
    <xf borderId="1" fillId="7" fontId="7" numFmtId="0" xfId="0" applyAlignment="1" applyBorder="1" applyFill="1" applyFont="1">
      <alignment horizontal="center" readingOrder="0" shrinkToFit="0" vertical="center" wrapText="0"/>
    </xf>
    <xf borderId="0" fillId="0" fontId="9" numFmtId="0" xfId="0" applyAlignment="1" applyFont="1">
      <alignment vertical="center"/>
    </xf>
    <xf borderId="1" fillId="8" fontId="7" numFmtId="49" xfId="0" applyAlignment="1" applyBorder="1" applyFill="1" applyFont="1" applyNumberFormat="1">
      <alignment horizontal="left" readingOrder="0" shrinkToFit="0" vertical="center" wrapText="1"/>
    </xf>
    <xf borderId="1" fillId="7" fontId="7" numFmtId="0" xfId="0" applyAlignment="1" applyBorder="1" applyFill="1" applyFont="1">
      <alignment horizontal="center" shrinkToFit="0" vertical="center" wrapText="0"/>
    </xf>
    <xf borderId="1" fillId="8" fontId="7" numFmtId="49" xfId="0" applyAlignment="1" applyBorder="1" applyFill="1" applyFont="1" applyNumberFormat="1">
      <alignment horizontal="left" shrinkToFit="0" vertical="center" wrapText="1"/>
    </xf>
    <xf borderId="1" fillId="7" fontId="7" numFmtId="164" xfId="0" applyAlignment="1" applyBorder="1" applyFill="1" applyFont="1" applyNumberFormat="1">
      <alignment horizontal="center" shrinkToFit="0" vertical="center" wrapText="0"/>
    </xf>
    <xf borderId="1" fillId="0" fontId="6" numFmtId="164" xfId="0" applyAlignment="1" applyBorder="1" applyFont="1" applyNumberFormat="1">
      <alignment horizontal="center" shrinkToFit="0" vertical="center" wrapText="0"/>
    </xf>
    <xf borderId="1" fillId="0" fontId="6" numFmtId="0" xfId="0" applyAlignment="1" applyBorder="1" applyFont="1">
      <alignment horizontal="center" shrinkToFit="0" vertical="center" wrapText="0"/>
    </xf>
    <xf borderId="1" fillId="0" fontId="6" numFmtId="49" xfId="0" applyAlignment="1" applyBorder="1" applyFont="1" applyNumberFormat="1">
      <alignment horizontal="left"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Sang-style">
      <tableStyleElement dxfId="1" type="headerRow"/>
      <tableStyleElement dxfId="2" type="firstRowStripe"/>
      <tableStyleElement dxfId="3" type="secondRowStripe"/>
      <tableStyleElement dxfId="4" size="0" type="wholeTable"/>
    </tableStyle>
    <tableStyle count="4" pivot="0" name="Nguyên-style">
      <tableStyleElement dxfId="1" type="headerRow"/>
      <tableStyleElement dxfId="2" type="firstRowStripe"/>
      <tableStyleElement dxfId="3" type="secondRowStripe"/>
      <tableStyleElement dxfId="4" size="0" type="wholeTable"/>
    </tableStyle>
    <tableStyle count="4" pivot="0" name="Thắ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5:F306" displayName="AIPromptLog" name="AIPromptLog" id="2">
  <tableColumns count="6">
    <tableColumn name="Ngày" id="1"/>
    <tableColumn name="Người tạo" id="2"/>
    <tableColumn name="Tool AI" id="3"/>
    <tableColumn name="Công việc" id="4"/>
    <tableColumn name="Prompt đã dùng" id="5"/>
    <tableColumn name="Minh chứng" id="6"/>
  </tableColumns>
  <tableStyleInfo name="Thắng-style" showColumnStripes="0" showFirstColumn="1" showLastColumn="1" showRowStripes="1"/>
</table>
</file>

<file path=xl/tables/table2.xml><?xml version="1.0" encoding="utf-8"?>
<table xmlns="http://schemas.openxmlformats.org/spreadsheetml/2006/main" ref="A5:F306" displayName="AIPromptLog_2" name="AIPromptLog_2" id="3">
  <tableColumns count="6">
    <tableColumn name="Ngày" id="1"/>
    <tableColumn name="Người tạo" id="2"/>
    <tableColumn name="Tool AI" id="3"/>
    <tableColumn name="Công việc" id="4"/>
    <tableColumn name="Prompt đã dùng" id="5"/>
    <tableColumn name="Minh chứng" id="6"/>
  </tableColumns>
  <tableStyleInfo name="Nguyên-style" showColumnStripes="0" showFirstColumn="1" showLastColumn="1" showRowStripes="1"/>
</table>
</file>

<file path=xl/tables/table3.xml><?xml version="1.0" encoding="utf-8"?>
<table xmlns="http://schemas.openxmlformats.org/spreadsheetml/2006/main" ref="A5:F306" displayName="AIPromptLog_3" name="AIPromptLog_3" id="1">
  <tableColumns count="6">
    <tableColumn name="Ngày" id="1"/>
    <tableColumn name="Người tạo" id="2"/>
    <tableColumn name="Tool AI" id="3"/>
    <tableColumn name="Công việc" id="4"/>
    <tableColumn name="Prompt đã dùng" id="5"/>
    <tableColumn name="Minh chứng" id="6"/>
  </tableColumns>
  <tableStyleInfo name="Sa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72" customHeight="1">
      <c r="A6" s="17">
        <v>46290</v>
      </c>
      <c r="B6" s="18" t="inlineStr">
        <is>
          <t xml:space="preserve">Thắng</t>
        </is>
      </c>
      <c r="C6" s="18" t="inlineStr">
        <is>
          <t xml:space="preserve">Codex</t>
        </is>
      </c>
      <c r="D6" s="20" t="inlineStr">
        <is>
          <t xml:space="preserve">Soạn SDD W2, đổi tên M06, lưu nguồn tài liệu và tự review</t>
        </is>
      </c>
      <c r="E6" s="20" t="inlineStr">
        <is>
          <t xml:space="preserve">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0" t="inlineStr">
        <is>
          <t xml:space="preserve">docs/plan/week-02.md; docs/sdd/modules/; docs/sources/README.md</t>
        </is>
      </c>
    </row>
    <row r="7" ht="36.0" customHeight="1">
      <c r="A7" s="17">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0" customHeight="1">
      <c r="A8" s="23">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72" customHeight="1">
      <c r="A9" s="23">
        <v>46290</v>
      </c>
      <c r="B9" s="21" t="inlineStr">
        <is>
          <t>Thắng</t>
        </is>
      </c>
      <c r="C9" s="21" t="inlineStr">
        <is>
          <t>Codex</t>
        </is>
      </c>
      <c r="D9" s="22" t="inlineStr">
        <is>
          <t>Chuẩn hóa cách mô tả dự án trong rule, plan, SDD và sources</t>
        </is>
      </c>
      <c r="E9" s="22" t="inlineStr">
        <is>
          <t xml:space="preserve">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is>
      </c>
      <c r="F9" s="22" t="inlineStr">
        <is>
          <t>AGENTS.md; README.md; AI_CONTEXT.md; docs/sources/; docs/plan/; docs/sdd/modules/</t>
        </is>
      </c>
    </row>
    <row r="10" ht="240" customHeight="1">
      <c r="A10" s="23">
        <v>46293</v>
      </c>
      <c r="B10" s="21" t="inlineStr">
        <is>
          <t xml:space="preserve">Thắng</t>
        </is>
      </c>
      <c r="C10" s="21" t="inlineStr">
        <is>
          <t xml:space="preserve">Codex</t>
        </is>
      </c>
      <c r="D10" s="22" t="inlineStr">
        <is>
          <t xml:space="preserve">Prompt chuẩn hóa M02 · SCRUM-46/47</t>
        </is>
      </c>
      <c r="E10" s="22" t="inlineStr">
        <is>
          <t xml:space="preserve">Vai trò: coding agent phụ trách M02. Thực hiện tuần tự SCRUM-46 rồi SCRUM-47 trên hai branch đã tạo; đọc Requirement v0.2, Specification v0.3, Test Plan v0.2 và 05-plan/06-tasks của M02.
Triển khai decoder SoundFile 0.14.0 + SoXR 1.1.0 cho WAV PCM/FLAC/OGG-Vorbis/MP3; giới hạn bytes, sample rate, channels, frames và duration bằng QCConfig versioned. Xuất PCM float32 mono 16 kHz, đo duration/silence/clipping và trả reason code an toàn. Thêm policy PASS/REVIEW/REJECT; chỉ PASS tự động gọi ASR.
Phạm vi: chỉ M02, shared contract cần thiết và dependency/tests; không sửa M03, không đặt threshold sản phẩm, không dùng audio thật/model/secret. Chạy M02-TEST-001–008, full regression, coverage line ≥90% và branch ≥85%, Ruff. Bàn giao commit, lệnh/exit code, PASS/SKIP, coverage, evidence và điểm cần Sang review; không merge main.</t>
        </is>
      </c>
      <c r="F10" s="22" t="inlineStr">
        <is>
          <t xml:space="preserve">docs/sdd/modules/m02-audio-qc/evidence/M02-EVID-001-SCRUM-46.md
docs/sdd/modules/m02-audio-qc/evidence/M02-EVID-002-SCRUM-47.md</t>
        </is>
      </c>
    </row>
    <row r="11" ht="240" customHeight="1">
      <c r="A11" s="23">
        <v>46293</v>
      </c>
      <c r="B11" s="21" t="inlineStr">
        <is>
          <t xml:space="preserve">Thắng</t>
        </is>
      </c>
      <c r="C11" s="21" t="inlineStr">
        <is>
          <t xml:space="preserve">Codex</t>
        </is>
      </c>
      <c r="D11" s="22" t="inlineStr">
        <is>
          <t xml:space="preserve">Prompt chuẩn hóa M08 · SCRUM-48/49</t>
        </is>
      </c>
      <c r="E11" s="22" t="inlineStr">
        <is>
          <t xml:space="preserve">Vai trò: coding agent phụ trách M08. Thực hiện tuần tự SCRUM-48 rồi SCRUM-49 trên hai branch đã tạo; đọc Requirement v0.2, Specification v0.3, Test Plan v0.2 và 05-plan/06-tasks của M08.
SCRUM-48: fixture account bootstrap, Argon2id (19 MiB, t=2, p=1), token ngẫu nhiên 32 byte chỉ lưu SHA-256 digest, session idle 30 phút/absolute 8 giờ, consent withdrawal chặn submit mới và owner gate. SCRUM-49: SQLite transaction tường minh với data_dir ngoài repo; BlobStore staging, checksum, atomic replace, bù trừ lỗi; audit và báo cáo blob mồ côi.
Phạm vi W2: chỉ actor/dữ liệu giả danh, không HTTP/UI, không export/xóa/retention dữ liệu thật. Chạy M08-TEST-001–005, full regression, coverage line ≥90% và branch ≥85%, Ruff. Bàn giao commit, lệnh/exit code, PASS/SKIP, coverage, evidence và điểm cần Nguyên review; không merge main.</t>
        </is>
      </c>
      <c r="F11" s="22" t="inlineStr">
        <is>
          <t xml:space="preserve">docs/sdd/modules/m08-identity-storage-admin/evidence/scrum-48-implementation.md
docs/sdd/modules/m08-identity-storage-admin/evidence/scrum-49-implementation.md</t>
        </is>
      </c>
    </row>
    <row r="12" ht="36" customHeight="1">
      <c r="A12" s="23"/>
      <c r="B12" s="21"/>
      <c r="C12" s="21"/>
      <c r="D12" s="22"/>
      <c r="E12" s="22"/>
      <c r="F12" s="22"/>
    </row>
    <row r="13" ht="36"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ns1:id="rId1"/>
  <tableParts count="1">
    <tablePart ns1: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36.0" customHeight="1">
      <c r="A6" s="17"/>
      <c r="B6" s="18"/>
      <c r="C6" s="18"/>
      <c r="D6" s="20"/>
      <c r="E6" s="20"/>
      <c r="F6" s="20"/>
    </row>
    <row r="7" ht="36.0" customHeight="1">
      <c r="A7" s="17"/>
      <c r="B7" s="21"/>
      <c r="C7" s="21"/>
      <c r="D7" s="22"/>
      <c r="E7" s="22"/>
      <c r="F7" s="22"/>
    </row>
    <row r="8" ht="36.0" customHeight="1">
      <c r="A8" s="23"/>
      <c r="B8" s="21"/>
      <c r="C8" s="21"/>
      <c r="D8" s="22"/>
      <c r="E8" s="22"/>
      <c r="F8" s="22"/>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36.0" customHeight="1">
      <c r="A6" s="17"/>
      <c r="B6" s="18"/>
      <c r="C6" s="18"/>
      <c r="D6" s="20"/>
      <c r="E6" s="20"/>
      <c r="F6" s="20"/>
    </row>
    <row r="7" ht="36.0" customHeight="1">
      <c r="A7" s="17"/>
      <c r="B7" s="21"/>
      <c r="C7" s="21"/>
      <c r="D7" s="22"/>
      <c r="E7" s="22"/>
      <c r="F7" s="22"/>
    </row>
    <row r="8" ht="36.0" customHeight="1">
      <c r="A8" s="23"/>
      <c r="B8" s="21"/>
      <c r="C8" s="21"/>
      <c r="D8" s="22"/>
      <c r="E8" s="22"/>
      <c r="F8" s="22"/>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ns1="http://schemas.openxmlformats.org/officeDocument/2006/relationships">
  <sheetPr>
    <tabColor rgb="FF17324D"/>
    <pageSetUpPr/>
  </sheetPr>
  <sheetViews>
    <sheetView showGridLines="0" workbookViewId="0"/>
  </sheetViews>
  <sheetFormatPr customHeight="1" defaultColWidth="12.63" defaultRowHeight="15.0"/>
  <cols>
    <col customWidth="1" min="1" max="1" width="24.0"/>
    <col customWidth="1" min="2" max="2" width="15.0"/>
    <col customWidth="1" min="3" max="3" width="4.0"/>
    <col customWidth="1" min="4" max="4" width="24.0"/>
    <col customWidth="1" min="5" max="5" width="15.0"/>
    <col customWidth="1" min="6" max="6" width="8.0"/>
    <col customWidth="1" min="7" max="26" width="8.63"/>
  </cols>
  <sheetData>
    <row r="1" ht="15.0" customHeight="1"/>
    <row r="2" ht="25.5" customHeight="1">
      <c r="B2" s="1" t="s">
        <v>0</v>
      </c>
      <c r="C2" s="2"/>
      <c r="D2" s="2"/>
      <c r="E2" s="2"/>
      <c r="F2" s="2"/>
    </row>
    <row r="3" ht="19.5" customHeight="1">
      <c r="A3" s="3"/>
      <c r="B3" s="2"/>
      <c r="C3" s="2"/>
      <c r="D3" s="2"/>
      <c r="E3" s="2"/>
      <c r="F3" s="2"/>
    </row>
    <row r="4">
      <c r="A4" s="2"/>
      <c r="B4" s="2"/>
      <c r="C4" s="2"/>
      <c r="D4" s="2"/>
      <c r="E4" s="2"/>
      <c r="F4" s="2"/>
    </row>
    <row r="5" ht="33.75" customHeight="1">
      <c r="A5" s="4" t="s">
        <v>1</v>
      </c>
      <c r="B5" s="5">
        <f>SUM(B9:B11)</f>
        <v>4</v>
      </c>
      <c r="C5" s="2"/>
      <c r="D5" s="2"/>
      <c r="E5" s="2"/>
      <c r="F5" s="2"/>
    </row>
    <row r="6">
      <c r="A6" s="2"/>
      <c r="B6" s="2"/>
      <c r="C6" s="2"/>
      <c r="D6" s="2"/>
      <c r="E6" s="2"/>
      <c r="F6" s="2"/>
    </row>
    <row r="7">
      <c r="A7" s="2"/>
      <c r="B7" s="2"/>
      <c r="C7" s="2"/>
      <c r="D7" s="2"/>
      <c r="E7" s="2"/>
      <c r="F7" s="2"/>
    </row>
    <row r="8" ht="27.75" customHeight="1">
      <c r="A8" s="4" t="s">
        <v>2</v>
      </c>
      <c r="B8" s="4" t="s">
        <v>3</v>
      </c>
      <c r="C8" s="2"/>
      <c r="D8" s="10" t="s">
        <v>4</v>
      </c>
      <c r="E8" s="10" t="s">
        <v>3</v>
      </c>
      <c r="F8" s="2"/>
    </row>
    <row r="9" ht="24.75" customHeight="1">
      <c r="A9" s="11" t="s">
        <v>6</v>
      </c>
      <c r="B9" s="13">
        <f>COUNTIF('Thắng'!$A$6:$A$306,"&lt;&gt;")</f>
        <v>4</v>
      </c>
      <c r="C9" s="2"/>
      <c r="D9" s="14" t="s">
        <v>8</v>
      </c>
      <c r="E9" s="16">
        <f>COUNTIFS('Thắng'!$A$6:$A$306,"&lt;&gt;",'Thắng'!$C$6:$C$306,D9)+COUNTIFS('Sang'!$A$6:$A$306,"&lt;&gt;",'Sang'!$C$6:$C$306,D9)+COUNTIFS('Nguyên'!$A$6:$A$306,"&lt;&gt;",'Nguyên'!$C$6:$C$306,D9)</f>
        <v>0</v>
      </c>
      <c r="F9" s="2"/>
    </row>
    <row r="10" ht="24.75" customHeight="1">
      <c r="A10" s="11" t="s">
        <v>11</v>
      </c>
      <c r="B10" s="13">
        <f>COUNTIF('Sang'!$A$6:$A$306,"&lt;&gt;")</f>
        <v>0</v>
      </c>
      <c r="C10" s="2"/>
      <c r="D10" s="14" t="s">
        <v>15</v>
      </c>
      <c r="E10" s="16">
        <f>COUNTIFS('Thắng'!$A$6:$A$306,"&lt;&gt;",'Thắng'!$C$6:$C$306,D10)+COUNTIFS('Sang'!$A$6:$A$306,"&lt;&gt;",'Sang'!$C$6:$C$306,D10)+COUNTIFS('Nguyên'!$A$6:$A$306,"&lt;&gt;",'Nguyên'!$C$6:$C$306,D10)</f>
        <v>4</v>
      </c>
      <c r="F10" s="2"/>
    </row>
    <row r="11" ht="24.75" customHeight="1">
      <c r="A11" s="11" t="s">
        <v>16</v>
      </c>
      <c r="B11" s="13">
        <f>COUNTIF('Nguyên'!$A$6:$A$306,"&lt;&gt;")</f>
        <v>0</v>
      </c>
      <c r="C11" s="2"/>
      <c r="D11" s="14" t="s">
        <v>17</v>
      </c>
      <c r="E11" s="16">
        <f>COUNTIFS('Thắng'!$A$6:$A$306,"&lt;&gt;",'Thắng'!$C$6:$C$306,D11)+COUNTIFS('Sang'!$A$6:$A$306,"&lt;&gt;",'Sang'!$C$6:$C$306,D11)+COUNTIFS('Nguyên'!$A$6:$A$306,"&lt;&gt;",'Nguyên'!$C$6:$C$306,D11)</f>
        <v>0</v>
      </c>
      <c r="F11" s="2"/>
    </row>
    <row r="12">
      <c r="A12" s="2"/>
      <c r="B12" s="2"/>
      <c r="C12" s="2"/>
      <c r="D12" s="2"/>
      <c r="E12" s="2"/>
      <c r="F12" s="2"/>
    </row>
    <row r="13">
      <c r="A13" s="2"/>
      <c r="B13" s="2"/>
      <c r="C13" s="2"/>
      <c r="D13" s="2"/>
      <c r="E13" s="2"/>
      <c r="F13" s="2"/>
    </row>
    <row r="14">
      <c r="A14" s="19"/>
      <c r="B14" s="2"/>
      <c r="C14" s="2"/>
      <c r="D14" s="2"/>
      <c r="E14" s="2"/>
      <c r="F14" s="2"/>
    </row>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printOptions/>
  <pageMargins bottom="0.75" footer="0.0" header="0.0" left="0.7" right="0.7" top="0.75"/>
  <pageSetup orientation="landscape"/>
  <drawing ns1:id="rId1"/>
</worksheet>
</file>