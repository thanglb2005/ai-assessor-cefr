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ắng" sheetId="1" r:id="rId5"/>
    <sheet state="visible" name="Nguyên" sheetId="2" r:id="rId6"/>
    <sheet state="visible" name="Sang" sheetId="3" r:id="rId7"/>
    <sheet state="visible" name="Tổng hợp" sheetId="4" r:id="rId8"/>
  </sheets>
  <definedNames/>
  <calcPr calcMode="auto" fullCalcOnLoad="1" forceFullCalc="1"/>
</workbook>
</file>

<file path=xl/sharedStrings.xml><?xml version="1.0" encoding="utf-8"?>
<sst xmlns="http://schemas.openxmlformats.org/spreadsheetml/2006/main" count="48" uniqueCount="20">
  <si>
    <t>TỔNG HỢP SỬ DỤNG AI</t>
  </si>
  <si>
    <t>TỔNG SỐ PROMPT</t>
  </si>
  <si>
    <t>NGƯỜI TẠO</t>
  </si>
  <si>
    <t>SỐ PROMPT</t>
  </si>
  <si>
    <t>TOOL AI</t>
  </si>
  <si>
    <t>NHẬT KÝ SỬ DỤNG AI</t>
  </si>
  <si>
    <t>Thắng</t>
  </si>
  <si>
    <t>Ngày</t>
  </si>
  <si>
    <t>Claude</t>
  </si>
  <si>
    <t>Người tạo</t>
  </si>
  <si>
    <t>Tool AI</t>
  </si>
  <si>
    <t>Sang</t>
  </si>
  <si>
    <t>Công việc</t>
  </si>
  <si>
    <t>Prompt đã dùng</t>
  </si>
  <si>
    <t>Minh chứng</t>
  </si>
  <si>
    <t>Codex</t>
  </si>
  <si>
    <t>Nguyên</t>
  </si>
  <si>
    <t>Antigravity</t>
  </si>
  <si>
    <t>ABC</t>
  </si>
  <si>
    <t xml:space="preserve">ABC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</si>
</sst>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1.0"/>
      <color rgb="FF000000"/>
      <name val="Carlito"/>
      <scheme val="minor"/>
    </font>
    <font>
      <b/>
      <sz val="23.0"/>
      <color rgb="FF38761D"/>
      <name val="Times New Roman"/>
    </font>
    <font>
      <sz val="11.0"/>
      <color theme="1"/>
      <name val="Times New Roman"/>
    </font>
    <font>
      <i/>
      <sz val="10.0"/>
      <color rgb="FF6B7785"/>
      <name val="Times New Roman"/>
    </font>
    <font>
      <b/>
      <sz val="11.0"/>
      <color rgb="FFFFFFFF"/>
      <name val="Times New Roman"/>
    </font>
    <font>
      <b/>
      <sz val="11.0"/>
      <color rgb="FF17324D"/>
      <name val="Times New Roman"/>
    </font>
    <font>
      <color theme="1"/>
      <name val="Carlito"/>
      <scheme val="minor"/>
    </font>
    <font>
      <sz val="11.0"/>
      <color rgb="FF263442"/>
      <name val="Times New Roman"/>
    </font>
    <font>
      <b/>
      <sz val="23.0"/>
      <color rgb="FFCC0000"/>
      <name val="Times New Roman"/>
    </font>
    <font>
      <i/>
      <sz val="11.0"/>
      <color rgb="FF6B7785"/>
      <name val="Times New Roman"/>
    </font>
  </fonts>
  <fills count="9">
    <fill>
      <patternFill patternType="none"/>
    </fill>
    <fill>
      <patternFill patternType="lightGray"/>
    </fill>
    <fill>
      <patternFill patternType="solid">
        <fgColor rgb="FF17324D"/>
        <bgColor rgb="FF17324D"/>
      </patternFill>
    </fill>
    <fill>
      <patternFill patternType="solid">
        <fgColor rgb="FFEAF1F8"/>
        <bgColor rgb="FFEAF1F8"/>
      </patternFill>
    </fill>
    <fill>
      <patternFill patternType="solid">
        <fgColor rgb="FF2E5B88"/>
        <bgColor rgb="FF2E5B88"/>
      </patternFill>
    </fill>
    <fill>
      <patternFill patternType="solid">
        <fgColor rgb="FFF5F8FC"/>
        <bgColor rgb="FFF5F8FC"/>
      </patternFill>
    </fill>
    <fill>
      <patternFill patternType="solid">
        <fgColor rgb="FFF8F5EE"/>
        <bgColor rgb="FFF8F5EE"/>
      </patternFill>
    </fill>
    <fill>
      <patternFill patternType="solid">
        <fgColor rgb="FFFFF8E7"/>
        <bgColor rgb="FFFFF8E7"/>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1" fillId="2" fontId="4" numFmtId="0" xfId="0" applyAlignment="1" applyBorder="1" applyFill="1" applyFont="1">
      <alignment horizontal="center" vertical="center"/>
    </xf>
    <xf borderId="1" fillId="3" fontId="5" numFmtId="0" xfId="0" applyAlignment="1" applyBorder="1" applyFill="1" applyFont="1">
      <alignment horizontal="center" vertical="center"/>
    </xf>
    <xf borderId="0" fillId="0" fontId="6" numFmtId="0" xfId="0" applyAlignment="1" applyFont="1">
      <alignment horizontal="left"/>
    </xf>
    <xf borderId="0" fillId="0" fontId="7" numFmtId="0" xfId="0" applyFont="1"/>
    <xf borderId="0" fillId="0" fontId="7" numFmtId="0" xfId="0" applyAlignment="1" applyFont="1">
      <alignment horizontal="left"/>
    </xf>
    <xf borderId="0" fillId="0" fontId="8" numFmtId="0" xfId="0" applyFont="1"/>
    <xf borderId="1" fillId="4" fontId="4" numFmtId="0" xfId="0" applyAlignment="1" applyBorder="1" applyFill="1" applyFont="1">
      <alignment horizontal="center" vertical="center"/>
    </xf>
    <xf borderId="1" fillId="5" fontId="2" numFmtId="0" xfId="0" applyAlignment="1" applyBorder="1" applyFill="1" applyFont="1">
      <alignment vertical="center"/>
    </xf>
    <xf borderId="0" fillId="0" fontId="3" numFmtId="0" xfId="0" applyFont="1"/>
    <xf borderId="1" fillId="5" fontId="2" numFmtId="0" xfId="0" applyAlignment="1" applyBorder="1" applyFill="1" applyFont="1">
      <alignment horizontal="center" vertical="center"/>
    </xf>
    <xf borderId="1" fillId="6" fontId="2" numFmtId="0" xfId="0" applyAlignment="1" applyBorder="1" applyFill="1" applyFont="1">
      <alignment vertical="center"/>
    </xf>
    <xf borderId="1" fillId="0" fontId="4" numFmtId="0" xfId="0" applyAlignment="1" applyBorder="1" applyFont="1">
      <alignment horizontal="center" readingOrder="0" shrinkToFit="0" vertical="center" wrapText="1"/>
    </xf>
    <xf borderId="1" fillId="6" fontId="2" numFmtId="0" xfId="0" applyAlignment="1" applyBorder="1" applyFill="1" applyFont="1">
      <alignment horizontal="center" vertical="center"/>
    </xf>
    <xf borderId="1" fillId="7" fontId="7" numFmtId="164" xfId="0" applyAlignment="1" applyBorder="1" applyFill="1" applyFont="1" applyNumberFormat="1">
      <alignment horizontal="center" readingOrder="0" shrinkToFit="0" vertical="center" wrapText="0"/>
    </xf>
    <xf borderId="1" fillId="7" fontId="7" numFmtId="0" xfId="0" applyAlignment="1" applyBorder="1" applyFill="1" applyFont="1">
      <alignment horizontal="center" readingOrder="0" shrinkToFit="0" vertical="center" wrapText="0"/>
    </xf>
    <xf borderId="0" fillId="0" fontId="9" numFmtId="0" xfId="0" applyAlignment="1" applyFont="1">
      <alignment vertical="center"/>
    </xf>
    <xf borderId="1" fillId="8" fontId="7" numFmtId="49" xfId="0" applyAlignment="1" applyBorder="1" applyFill="1" applyFont="1" applyNumberFormat="1">
      <alignment horizontal="left" readingOrder="0" shrinkToFit="0" vertical="center" wrapText="1"/>
    </xf>
    <xf borderId="1" fillId="7" fontId="7" numFmtId="0" xfId="0" applyAlignment="1" applyBorder="1" applyFill="1" applyFont="1">
      <alignment horizontal="center" shrinkToFit="0" vertical="center" wrapText="0"/>
    </xf>
    <xf borderId="1" fillId="8" fontId="7" numFmtId="49" xfId="0" applyAlignment="1" applyBorder="1" applyFill="1" applyFont="1" applyNumberFormat="1">
      <alignment horizontal="left" shrinkToFit="0" vertical="center" wrapText="1"/>
    </xf>
    <xf borderId="1" fillId="7" fontId="7" numFmtId="164" xfId="0" applyAlignment="1" applyBorder="1" applyFill="1" applyFont="1" applyNumberFormat="1">
      <alignment horizontal="center" shrinkToFit="0" vertical="center" wrapText="0"/>
    </xf>
    <xf borderId="1" fillId="0" fontId="6" numFmtId="164" xfId="0" applyAlignment="1" applyBorder="1" applyFont="1" applyNumberFormat="1">
      <alignment horizontal="center" shrinkToFit="0" vertical="center" wrapText="0"/>
    </xf>
    <xf borderId="1" fillId="0" fontId="6" numFmtId="0" xfId="0" applyAlignment="1" applyBorder="1" applyFont="1">
      <alignment horizontal="center" shrinkToFit="0" vertical="center" wrapText="0"/>
    </xf>
    <xf borderId="1" fillId="0" fontId="6" numFmtId="49" xfId="0" applyAlignment="1" applyBorder="1" applyFont="1" applyNumberFormat="1">
      <alignment horizontal="lef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Sang-style">
      <tableStyleElement dxfId="1" type="headerRow"/>
      <tableStyleElement dxfId="2" type="firstRowStripe"/>
      <tableStyleElement dxfId="3" type="secondRowStripe"/>
      <tableStyleElement dxfId="4" size="0" type="wholeTable"/>
    </tableStyle>
    <tableStyle count="4" pivot="0" name="Nguyên-style">
      <tableStyleElement dxfId="1" type="headerRow"/>
      <tableStyleElement dxfId="2" type="firstRowStripe"/>
      <tableStyleElement dxfId="3" type="secondRowStripe"/>
      <tableStyleElement dxfId="4" size="0" type="wholeTable"/>
    </tableStyle>
    <tableStyle count="4" pivot="0" name="Thắ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5:F306" displayName="AIPromptLog" name="AIPromptLog" id="2">
  <tableColumns count="6">
    <tableColumn name="Ngày" id="1"/>
    <tableColumn name="Người tạo" id="2"/>
    <tableColumn name="Tool AI" id="3"/>
    <tableColumn name="Công việc" id="4"/>
    <tableColumn name="Prompt đã dùng" id="5"/>
    <tableColumn name="Minh chứng" id="6"/>
  </tableColumns>
  <tableStyleInfo name="Thắng-style" showColumnStripes="0" showFirstColumn="1" showLastColumn="1" showRowStripes="1"/>
</table>
</file>

<file path=xl/tables/table2.xml><?xml version="1.0" encoding="utf-8"?>
<table xmlns="http://schemas.openxmlformats.org/spreadsheetml/2006/main" ref="A5:F306" displayName="AIPromptLog_2" name="AIPromptLog_2" id="3">
  <tableColumns count="6">
    <tableColumn name="Ngày" id="1"/>
    <tableColumn name="Người tạo" id="2"/>
    <tableColumn name="Tool AI" id="3"/>
    <tableColumn name="Công việc" id="4"/>
    <tableColumn name="Prompt đã dùng" id="5"/>
    <tableColumn name="Minh chứng" id="6"/>
  </tableColumns>
  <tableStyleInfo name="Nguyên-style" showColumnStripes="0" showFirstColumn="1" showLastColumn="1" showRowStripes="1"/>
</table>
</file>

<file path=xl/tables/table3.xml><?xml version="1.0" encoding="utf-8"?>
<table xmlns="http://schemas.openxmlformats.org/spreadsheetml/2006/main" ref="A5:F306" displayName="AIPromptLog_3" name="AIPromptLog_3" id="1">
  <tableColumns count="6">
    <tableColumn name="Ngày" id="1"/>
    <tableColumn name="Người tạo" id="2"/>
    <tableColumn name="Tool AI" id="3"/>
    <tableColumn name="Công việc" id="4"/>
    <tableColumn name="Prompt đã dùng" id="5"/>
    <tableColumn name="Minh chứng" id="6"/>
  </tableColumns>
  <tableStyleInfo name="Sa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72" customHeight="1">
      <c r="A6" s="17">
        <v>46290</v>
      </c>
      <c r="B6" s="18" t="inlineStr">
        <is>
          <t xml:space="preserve">Thắng</t>
        </is>
      </c>
      <c r="C6" s="18" t="inlineStr">
        <is>
          <t xml:space="preserve">Codex</t>
        </is>
      </c>
      <c r="D6" s="20" t="inlineStr">
        <is>
          <t xml:space="preserve">Soạn SDD W2, đổi tên M06, lưu nguồn tài liệu và tự review</t>
        </is>
      </c>
      <c r="E6" s="20" t="inlineStr">
        <is>
          <t xml:space="preserve">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0" t="inlineStr">
        <is>
          <t xml:space="preserve">docs/plan/week-02.md; docs/sdd/modules/; docs/sources/README.md</t>
        </is>
      </c>
    </row>
    <row r="7" ht="36.0" customHeight="1">
      <c r="A7" s="17">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0" customHeight="1">
      <c r="A8" s="23">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c r="A9" s="23">
        <v>46290</v>
      </c>
      <c r="B9" s="21" t="inlineStr">
        <is>
          <t>Thắng</t>
        </is>
      </c>
      <c r="C9" s="21" t="inlineStr">
        <is>
          <t>Codex</t>
        </is>
      </c>
      <c r="D9" s="22" t="inlineStr">
        <is>
          <t>Chuẩn hóa cách mô tả dự án trong rule, plan, SDD và sources</t>
        </is>
      </c>
      <c r="E9" s="22" t="inlineStr">
        <is>
          <t xml:space="preserve">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100" customHeight="1">
      <c r="A10" s="23">
        <v>46293</v>
      </c>
      <c r="B10" s="21" t="inlineStr">
        <is>
          <t xml:space="preserve">Thắng</t>
        </is>
      </c>
      <c r="C10" s="21" t="inlineStr">
        <is>
          <t xml:space="preserve">Codex</t>
        </is>
      </c>
      <c r="D10" s="22" t="inlineStr">
        <is>
          <t xml:space="preserve">SCRUM-46 · M02 audio decoder và QC measurements</t>
        </is>
      </c>
      <c r="E10" s="22" t="inlineStr">
        <is>
          <t xml:space="preserve">tôi đã tạo 4 nhánh rồi đó, tôi là thắng, bạn hãy di chueyenr các nhánh dùng [$sdd-antigravity-orchestrator](/home/thanglvc/.agents/skills/sdd-antigravity-orchestrator/SKILL.md) để implement code, code xong task thì nói tôi để PR merge vào main
yêu cầu duyệt gì thì gửi lại,hãy code chuẩn quy trình và push trong các nhánh đi
duyệt đi, cứ done task đã rồi tính, gấp
M02 Phase 03/04 đã duyệt; M02-TEST-001–006.</t>
        </is>
      </c>
      <c r="F10" s="22" t="inlineStr">
        <is>
          <t xml:space="preserve">docs/sdd/modules/m02-audio-qc/prompts/M02-PROMPT-001-SCRUM-46.md; docs/sdd/modules/m02-audio-qc/evidence/M02-EVID-001-SCRUM-46.md</t>
        </is>
      </c>
    </row>
    <row r="11" ht="100" customHeight="1">
      <c r="A11" s="23">
        <v>46293</v>
      </c>
      <c r="B11" s="21" t="inlineStr">
        <is>
          <t xml:space="preserve">Thắng</t>
        </is>
      </c>
      <c r="C11" s="21" t="inlineStr">
        <is>
          <t xml:space="preserve">Codex</t>
        </is>
      </c>
      <c r="D11" s="22" t="inlineStr">
        <is>
          <t xml:space="preserve">SCRUM-47 · M02 QC policy và pipeline boundary</t>
        </is>
      </c>
      <c r="E11" s="22" t="inlineStr">
        <is>
          <t xml:space="preserve">tôi đã tạo 4 nhánh rồi đó, tôi là thắng, bạn hãy di chueyenr các nhánh dùng [$sdd-antigravity-orchestrator](/home/thanglvc/.agents/skills/sdd-antigravity-orchestrator/SKILL.md) để implement code, code xong task thì nói tôi để PR merge vào main
yêu cầu duyệt gì thì gửi lại,hãy code chuẩn quy trình và push trong các nhánh đi
duyệt đi, cứ done task đã rồi tính, gấp
M02 Phase 03/04 đã duyệt; M02-TEST-007/008.</t>
        </is>
      </c>
      <c r="F11" s="22" t="inlineStr">
        <is>
          <t xml:space="preserve">docs/sdd/modules/m02-audio-qc/prompts/M02-PROMPT-002-SCRUM-47.md; docs/sdd/modules/m02-audio-qc/evidence/M02-EVID-002-SCRUM-47.md</t>
        </is>
      </c>
    </row>
    <row r="12" ht="100" customHeight="1">
      <c r="A12" s="23">
        <v>46293</v>
      </c>
      <c r="B12" s="21" t="inlineStr">
        <is>
          <t xml:space="preserve">Thắng</t>
        </is>
      </c>
      <c r="C12" s="21" t="inlineStr">
        <is>
          <t xml:space="preserve">Codex</t>
        </is>
      </c>
      <c r="D12" s="22" t="inlineStr">
        <is>
          <t xml:space="preserve">SCRUM-48 · M08 auth, consent và owner</t>
        </is>
      </c>
      <c r="E12" s="22" t="inlineStr">
        <is>
          <t xml:space="preserve">tôi đã tạo 4 nhánh rồi đó, tôi là thắng, bạn hãy di chueyenr các nhánh dùng [$sdd-antigravity-orchestrator](/home/thanglvc/.agents/skills/sdd-antigravity-orchestrator/SKILL.md) để implement code, code xong task thì nói tôi để PR merge vào main
yêu cầu duyệt gì thì gửi lại,hãy code chuẩn quy trình và push trong các nhánh đi
duyệt đi, cứ done task đã rồi tính, gấp
M08 Phase 03/04 đã duyệt; M08-TEST-001/002/004/005.</t>
        </is>
      </c>
      <c r="F12" s="22" t="inlineStr">
        <is>
          <t xml:space="preserve">docs/sdd/modules/m08-identity-storage-admin/prompts/M08-EXEC-048-SCRUM-48.md; docs/sdd/modules/m08-identity-storage-admin/evidence/scrum-48-implementation.md</t>
        </is>
      </c>
    </row>
    <row r="13" ht="100" customHeight="1">
      <c r="A13" s="23">
        <v>46293</v>
      </c>
      <c r="B13" s="21" t="inlineStr">
        <is>
          <t xml:space="preserve">Thắng</t>
        </is>
      </c>
      <c r="C13" s="21" t="inlineStr">
        <is>
          <t xml:space="preserve">Codex</t>
        </is>
      </c>
      <c r="D13" s="22" t="inlineStr">
        <is>
          <t xml:space="preserve">SCRUM-49 · M08 SQLite, BlobStore và audit</t>
        </is>
      </c>
      <c r="E13" s="22" t="inlineStr">
        <is>
          <t xml:space="preserve">tôi đã tạo 4 nhánh rồi đó, tôi là thắng, bạn hãy di chueyenr các nhánh dùng [$sdd-antigravity-orchestrator](/home/thanglvc/.agents/skills/sdd-antigravity-orchestrator/SKILL.md) để implement code, code xong task thì nói tôi để PR merge vào main
yêu cầu duyệt gì thì gửi lại,hãy code chuẩn quy trình và push trong các nhánh đi
duyệt đi, cứ done task đã rồi tính, gấp
M08 Phase 03/04 đã duyệt; M08-TEST-003 và regression M08.</t>
        </is>
      </c>
      <c r="F13" s="22" t="inlineStr">
        <is>
          <t xml:space="preserve">docs/sdd/modules/m08-identity-storage-admin/prompts/M08-EXEC-049-SCRUM-49.md; docs/sdd/modules/m08-identity-storage-admin/evidence/scrum-49-implementation.md</t>
        </is>
      </c>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ns1:id="rId1"/>
  <tableParts count="1">
    <tablePart ns1: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ns1="http://schemas.openxmlformats.org/officeDocument/2006/relationships">
  <sheetPr>
    <tabColor rgb="FF17324D"/>
    <pageSetUpPr/>
  </sheetPr>
  <sheetViews>
    <sheetView showGridLines="0" workbookViewId="0"/>
  </sheetViews>
  <sheetFormatPr customHeight="1" defaultColWidth="12.63" defaultRowHeight="15.0"/>
  <cols>
    <col customWidth="1" min="1" max="1" width="24.0"/>
    <col customWidth="1" min="2" max="2" width="15.0"/>
    <col customWidth="1" min="3" max="3" width="4.0"/>
    <col customWidth="1" min="4" max="4" width="24.0"/>
    <col customWidth="1" min="5" max="5" width="15.0"/>
    <col customWidth="1" min="6" max="6" width="8.0"/>
    <col customWidth="1" min="7" max="26" width="8.63"/>
  </cols>
  <sheetData>
    <row r="1" ht="15.0" customHeight="1"/>
    <row r="2" ht="25.5" customHeight="1">
      <c r="B2" s="1" t="s">
        <v>0</v>
      </c>
      <c r="C2" s="2"/>
      <c r="D2" s="2"/>
      <c r="E2" s="2"/>
      <c r="F2" s="2"/>
    </row>
    <row r="3" ht="19.5" customHeight="1">
      <c r="A3" s="3"/>
      <c r="B3" s="2"/>
      <c r="C3" s="2"/>
      <c r="D3" s="2"/>
      <c r="E3" s="2"/>
      <c r="F3" s="2"/>
    </row>
    <row r="4">
      <c r="A4" s="2"/>
      <c r="B4" s="2"/>
      <c r="C4" s="2"/>
      <c r="D4" s="2"/>
      <c r="E4" s="2"/>
      <c r="F4" s="2"/>
    </row>
    <row r="5" ht="33.75" customHeight="1">
      <c r="A5" s="4" t="s">
        <v>1</v>
      </c>
      <c r="B5" s="5">
        <f>SUM(B9:B11)</f>
        <v>4</v>
      </c>
      <c r="C5" s="2"/>
      <c r="D5" s="2"/>
      <c r="E5" s="2"/>
      <c r="F5" s="2"/>
    </row>
    <row r="6">
      <c r="A6" s="2"/>
      <c r="B6" s="2"/>
      <c r="C6" s="2"/>
      <c r="D6" s="2"/>
      <c r="E6" s="2"/>
      <c r="F6" s="2"/>
    </row>
    <row r="7">
      <c r="A7" s="2"/>
      <c r="B7" s="2"/>
      <c r="C7" s="2"/>
      <c r="D7" s="2"/>
      <c r="E7" s="2"/>
      <c r="F7" s="2"/>
    </row>
    <row r="8" ht="27.75" customHeight="1">
      <c r="A8" s="4" t="s">
        <v>2</v>
      </c>
      <c r="B8" s="4" t="s">
        <v>3</v>
      </c>
      <c r="C8" s="2"/>
      <c r="D8" s="10" t="s">
        <v>4</v>
      </c>
      <c r="E8" s="10" t="s">
        <v>3</v>
      </c>
      <c r="F8" s="2"/>
    </row>
    <row r="9" ht="24.75" customHeight="1">
      <c r="A9" s="11" t="s">
        <v>6</v>
      </c>
      <c r="B9" s="13">
        <f>COUNTIF('Thắng'!$A$6:$A$306,"&lt;&gt;")</f>
        <v>4</v>
      </c>
      <c r="C9" s="2"/>
      <c r="D9" s="14" t="s">
        <v>8</v>
      </c>
      <c r="E9" s="16">
        <f>COUNTIFS('Thắng'!$A$6:$A$306,"&lt;&gt;",'Thắng'!$C$6:$C$306,D9)+COUNTIFS('Sang'!$A$6:$A$306,"&lt;&gt;",'Sang'!$C$6:$C$306,D9)+COUNTIFS('Nguyên'!$A$6:$A$306,"&lt;&gt;",'Nguyên'!$C$6:$C$306,D9)</f>
        <v>0</v>
      </c>
      <c r="F9" s="2"/>
    </row>
    <row r="10" ht="24.75" customHeight="1">
      <c r="A10" s="11" t="s">
        <v>11</v>
      </c>
      <c r="B10" s="13">
        <f>COUNTIF('Sang'!$A$6:$A$306,"&lt;&gt;")</f>
        <v>0</v>
      </c>
      <c r="C10" s="2"/>
      <c r="D10" s="14" t="s">
        <v>15</v>
      </c>
      <c r="E10" s="16">
        <f>COUNTIFS('Thắng'!$A$6:$A$306,"&lt;&gt;",'Thắng'!$C$6:$C$306,D10)+COUNTIFS('Sang'!$A$6:$A$306,"&lt;&gt;",'Sang'!$C$6:$C$306,D10)+COUNTIFS('Nguyên'!$A$6:$A$306,"&lt;&gt;",'Nguyên'!$C$6:$C$306,D10)</f>
        <v>4</v>
      </c>
      <c r="F10" s="2"/>
    </row>
    <row r="11" ht="24.75" customHeight="1">
      <c r="A11" s="11" t="s">
        <v>16</v>
      </c>
      <c r="B11" s="13">
        <f>COUNTIF('Nguyên'!$A$6:$A$306,"&lt;&gt;")</f>
        <v>0</v>
      </c>
      <c r="C11" s="2"/>
      <c r="D11" s="14" t="s">
        <v>17</v>
      </c>
      <c r="E11" s="16">
        <f>COUNTIFS('Thắng'!$A$6:$A$306,"&lt;&gt;",'Thắng'!$C$6:$C$306,D11)+COUNTIFS('Sang'!$A$6:$A$306,"&lt;&gt;",'Sang'!$C$6:$C$306,D11)+COUNTIFS('Nguyên'!$A$6:$A$306,"&lt;&gt;",'Nguyên'!$C$6:$C$306,D11)</f>
        <v>0</v>
      </c>
      <c r="F11" s="2"/>
    </row>
    <row r="12">
      <c r="A12" s="2"/>
      <c r="B12" s="2"/>
      <c r="C12" s="2"/>
      <c r="D12" s="2"/>
      <c r="E12" s="2"/>
      <c r="F12" s="2"/>
    </row>
    <row r="13">
      <c r="A13" s="2"/>
      <c r="B13" s="2"/>
      <c r="C13" s="2"/>
      <c r="D13" s="2"/>
      <c r="E13" s="2"/>
      <c r="F13" s="2"/>
    </row>
    <row r="14">
      <c r="A14" s="19"/>
      <c r="B14" s="2"/>
      <c r="C14" s="2"/>
      <c r="D14" s="2"/>
      <c r="E14" s="2"/>
      <c r="F14" s="2"/>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ns1:id="rId1"/>
</worksheet>
</file>